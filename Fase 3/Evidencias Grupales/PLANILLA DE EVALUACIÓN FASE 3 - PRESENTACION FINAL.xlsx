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3/Grupo 6/"/>
    </mc:Choice>
  </mc:AlternateContent>
  <xr:revisionPtr revIDLastSave="0" documentId="13_ncr:1_{F9476C64-2516-3B47-83DD-B85542A88D4A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 s="1"/>
  <c r="D84" i="1"/>
  <c r="E84" i="1" s="1"/>
  <c r="J83" i="1"/>
  <c r="K83" i="1" s="1"/>
  <c r="H83" i="1"/>
  <c r="I83" i="1" s="1"/>
  <c r="F83" i="1"/>
  <c r="G83" i="1"/>
  <c r="D83" i="1"/>
  <c r="E83" i="1"/>
  <c r="J82" i="1"/>
  <c r="K82" i="1" s="1"/>
  <c r="H82" i="1"/>
  <c r="I82" i="1" s="1"/>
  <c r="F82" i="1"/>
  <c r="G82" i="1" s="1"/>
  <c r="D82" i="1"/>
  <c r="E82" i="1" s="1"/>
  <c r="J81" i="1"/>
  <c r="K81" i="1"/>
  <c r="H81" i="1"/>
  <c r="I81" i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/>
  <c r="J79" i="1"/>
  <c r="K79" i="1" s="1"/>
  <c r="H79" i="1"/>
  <c r="I79" i="1" s="1"/>
  <c r="F79" i="1"/>
  <c r="G79" i="1" s="1"/>
  <c r="D79" i="1"/>
  <c r="E79" i="1" s="1"/>
  <c r="J78" i="1"/>
  <c r="K78" i="1"/>
  <c r="H78" i="1"/>
  <c r="I78" i="1" s="1"/>
  <c r="F78" i="1"/>
  <c r="G78" i="1" s="1"/>
  <c r="D78" i="1"/>
  <c r="E78" i="1" s="1"/>
  <c r="J71" i="1"/>
  <c r="K71" i="1" s="1"/>
  <c r="H71" i="1"/>
  <c r="I71" i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/>
  <c r="J69" i="1"/>
  <c r="K69" i="1"/>
  <c r="H69" i="1"/>
  <c r="I69" i="1" s="1"/>
  <c r="F69" i="1"/>
  <c r="G69" i="1" s="1"/>
  <c r="D69" i="1"/>
  <c r="E69" i="1" s="1"/>
  <c r="J68" i="1"/>
  <c r="K68" i="1" s="1"/>
  <c r="H68" i="1"/>
  <c r="I68" i="1"/>
  <c r="F68" i="1"/>
  <c r="G68" i="1"/>
  <c r="D68" i="1"/>
  <c r="E68" i="1"/>
  <c r="J67" i="1"/>
  <c r="K67" i="1" s="1"/>
  <c r="H67" i="1"/>
  <c r="I67" i="1" s="1"/>
  <c r="F67" i="1"/>
  <c r="G67" i="1" s="1"/>
  <c r="D67" i="1"/>
  <c r="E67" i="1"/>
  <c r="J66" i="1"/>
  <c r="K66" i="1"/>
  <c r="H66" i="1"/>
  <c r="I66" i="1"/>
  <c r="F66" i="1"/>
  <c r="G66" i="1"/>
  <c r="D66" i="1"/>
  <c r="E66" i="1" s="1"/>
  <c r="E72" i="1" s="1"/>
  <c r="J65" i="1"/>
  <c r="K65" i="1" s="1"/>
  <c r="K72" i="1" s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/>
  <c r="H57" i="1"/>
  <c r="I57" i="1"/>
  <c r="F57" i="1"/>
  <c r="G57" i="1"/>
  <c r="D57" i="1"/>
  <c r="E57" i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/>
  <c r="H54" i="1"/>
  <c r="I54" i="1"/>
  <c r="G54" i="1"/>
  <c r="F54" i="1"/>
  <c r="E54" i="1"/>
  <c r="D54" i="1"/>
  <c r="J53" i="1"/>
  <c r="K53" i="1" s="1"/>
  <c r="H53" i="1"/>
  <c r="I53" i="1"/>
  <c r="F53" i="1"/>
  <c r="G53" i="1" s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/>
  <c r="J43" i="1"/>
  <c r="K43" i="1" s="1"/>
  <c r="H43" i="1"/>
  <c r="I43" i="1"/>
  <c r="F43" i="1"/>
  <c r="G43" i="1"/>
  <c r="D43" i="1"/>
  <c r="E43" i="1" s="1"/>
  <c r="J42" i="1"/>
  <c r="K42" i="1" s="1"/>
  <c r="H42" i="1"/>
  <c r="I42" i="1"/>
  <c r="F42" i="1"/>
  <c r="G42" i="1" s="1"/>
  <c r="D42" i="1"/>
  <c r="E42" i="1"/>
  <c r="J41" i="1"/>
  <c r="K41" i="1"/>
  <c r="H41" i="1"/>
  <c r="I41" i="1" s="1"/>
  <c r="F41" i="1"/>
  <c r="G41" i="1"/>
  <c r="D41" i="1"/>
  <c r="E41" i="1" s="1"/>
  <c r="J40" i="1"/>
  <c r="K40" i="1" s="1"/>
  <c r="H40" i="1"/>
  <c r="I40" i="1"/>
  <c r="F40" i="1"/>
  <c r="G40" i="1"/>
  <c r="D40" i="1"/>
  <c r="E40" i="1"/>
  <c r="J39" i="1"/>
  <c r="K39" i="1" s="1"/>
  <c r="H39" i="1"/>
  <c r="I39" i="1" s="1"/>
  <c r="F39" i="1"/>
  <c r="G39" i="1" s="1"/>
  <c r="D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/>
  <c r="F30" i="1"/>
  <c r="G30" i="1" s="1"/>
  <c r="D30" i="1"/>
  <c r="E30" i="1" s="1"/>
  <c r="J29" i="1"/>
  <c r="K29" i="1" s="1"/>
  <c r="H29" i="1"/>
  <c r="I29" i="1" s="1"/>
  <c r="F29" i="1"/>
  <c r="G29" i="1"/>
  <c r="D29" i="1"/>
  <c r="E29" i="1"/>
  <c r="J28" i="1"/>
  <c r="K28" i="1" s="1"/>
  <c r="H28" i="1"/>
  <c r="I28" i="1" s="1"/>
  <c r="F28" i="1"/>
  <c r="G28" i="1" s="1"/>
  <c r="D28" i="1"/>
  <c r="E28" i="1" s="1"/>
  <c r="J27" i="1"/>
  <c r="K27" i="1"/>
  <c r="H27" i="1"/>
  <c r="I27" i="1"/>
  <c r="F27" i="1"/>
  <c r="G27" i="1"/>
  <c r="D27" i="1"/>
  <c r="E27" i="1" s="1"/>
  <c r="J26" i="1"/>
  <c r="K26" i="1" s="1"/>
  <c r="H26" i="1"/>
  <c r="I26" i="1" s="1"/>
  <c r="F26" i="1"/>
  <c r="G26" i="1"/>
  <c r="D26" i="1"/>
  <c r="E26" i="1"/>
  <c r="B14" i="1"/>
  <c r="B15" i="1"/>
  <c r="B16" i="1"/>
  <c r="B17" i="1"/>
  <c r="B18" i="1"/>
  <c r="B19" i="1"/>
  <c r="D13" i="1"/>
  <c r="E13" i="1"/>
  <c r="D14" i="1"/>
  <c r="E14" i="1" s="1"/>
  <c r="D15" i="1"/>
  <c r="E15" i="1"/>
  <c r="D16" i="1"/>
  <c r="E16" i="1" s="1"/>
  <c r="D17" i="1"/>
  <c r="E17" i="1" s="1"/>
  <c r="D18" i="1"/>
  <c r="E18" i="1"/>
  <c r="D19" i="1"/>
  <c r="E19" i="1" s="1"/>
  <c r="F17" i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/>
  <c r="H18" i="1"/>
  <c r="I18" i="1"/>
  <c r="F18" i="1"/>
  <c r="G18" i="1"/>
  <c r="J16" i="1"/>
  <c r="K16" i="1" s="1"/>
  <c r="H16" i="1"/>
  <c r="I16" i="1" s="1"/>
  <c r="F16" i="1"/>
  <c r="G16" i="1" s="1"/>
  <c r="J15" i="1"/>
  <c r="K15" i="1"/>
  <c r="H15" i="1"/>
  <c r="I15" i="1"/>
  <c r="F15" i="1"/>
  <c r="G15" i="1"/>
  <c r="J14" i="1"/>
  <c r="K14" i="1" s="1"/>
  <c r="H14" i="1"/>
  <c r="I14" i="1" s="1"/>
  <c r="F14" i="1"/>
  <c r="G14" i="1" s="1"/>
  <c r="J13" i="1"/>
  <c r="K13" i="1"/>
  <c r="H13" i="1"/>
  <c r="I13" i="1"/>
  <c r="F13" i="1"/>
  <c r="G13" i="1"/>
  <c r="I46" i="1" l="1"/>
  <c r="E46" i="1"/>
  <c r="E85" i="1"/>
  <c r="K85" i="1"/>
  <c r="G85" i="1"/>
  <c r="I85" i="1"/>
  <c r="G72" i="1"/>
  <c r="C72" i="1" s="1"/>
  <c r="C73" i="1" s="1"/>
  <c r="D5" i="1" s="1"/>
  <c r="I72" i="1"/>
  <c r="E59" i="1"/>
  <c r="I59" i="1"/>
  <c r="G59" i="1"/>
  <c r="C59" i="1" s="1"/>
  <c r="C60" i="1" s="1"/>
  <c r="D4" i="1" s="1"/>
  <c r="K59" i="1"/>
  <c r="K46" i="1"/>
  <c r="G46" i="1"/>
  <c r="C46" i="1" s="1"/>
  <c r="C47" i="1" s="1"/>
  <c r="C6" i="1" s="1"/>
  <c r="E33" i="1"/>
  <c r="K33" i="1"/>
  <c r="G33" i="1"/>
  <c r="I33" i="1"/>
  <c r="I20" i="1"/>
  <c r="K20" i="1"/>
  <c r="E20" i="1"/>
  <c r="G20" i="1"/>
  <c r="C85" i="1" l="1"/>
  <c r="C86" i="1" s="1"/>
  <c r="D6" i="1" s="1"/>
  <c r="E6" i="1" s="1"/>
  <c r="C33" i="1"/>
  <c r="C34" i="1" s="1"/>
  <c r="C5" i="1" s="1"/>
  <c r="E5" i="1" s="1"/>
  <c r="C20" i="1"/>
  <c r="C21" i="1" s="1"/>
  <c r="C4" i="1" s="1"/>
  <c r="E4" i="1" s="1"/>
</calcChain>
</file>

<file path=xl/sharedStrings.xml><?xml version="1.0" encoding="utf-8"?>
<sst xmlns="http://schemas.openxmlformats.org/spreadsheetml/2006/main" count="167" uniqueCount="69">
  <si>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</si>
  <si>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</si>
  <si>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</si>
  <si>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</si>
  <si>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</si>
  <si>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</si>
  <si>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</si>
  <si>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</si>
  <si>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</si>
  <si>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</si>
  <si>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</si>
  <si>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</si>
  <si>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</si>
  <si>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</si>
  <si>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</si>
  <si>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</si>
  <si>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</si>
  <si>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</si>
  <si>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</si>
  <si>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</si>
  <si>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</si>
  <si>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</si>
  <si>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</si>
  <si>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</si>
  <si>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</si>
  <si>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</si>
  <si>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</si>
  <si>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</si>
  <si>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</si>
  <si>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</si>
  <si>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</si>
  <si>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</si>
  <si>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</si>
  <si>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</si>
  <si>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</si>
  <si>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</si>
  <si>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</si>
  <si>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</si>
  <si>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</si>
  <si>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</si>
  <si>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</si>
  <si>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</si>
  <si>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</si>
  <si>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</si>
  <si>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</si>
  <si>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</si>
  <si>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</si>
  <si>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</si>
  <si>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</si>
  <si>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</si>
  <si>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</si>
  <si>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</si>
  <si>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</si>
  <si>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</si>
  <si>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</si>
  <si>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</si>
  <si>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</si>
  <si>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</si>
  <si>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</si>
  <si>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</si>
  <si>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</si>
  <si>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</si>
  <si>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</si>
  <si>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Sebastian Muñoz</t>
  </si>
  <si>
    <t>Roberto Zurita</t>
  </si>
  <si>
    <t>Samuel Jimenez</t>
  </si>
  <si>
    <t>Problemas para la demostracíón del movil</t>
  </si>
  <si>
    <t xml:space="preserve">  </t>
  </si>
  <si>
    <t>Nota 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</si>
</sst>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39" sqref="C39:C45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5.0999999999999996</v>
      </c>
      <c r="D4" s="36">
        <f>C60</f>
        <v>5.0999999999999996</v>
      </c>
      <c r="E4" s="35">
        <f>C4*C$2+D4*D$2</f>
        <v>5.0999999999999996</v>
      </c>
    </row>
    <row r="5" spans="1:11" ht="17" x14ac:dyDescent="0.2">
      <c r="A5" s="3">
        <v>2</v>
      </c>
      <c r="B5" s="38" t="s">
        <v>64</v>
      </c>
      <c r="C5" s="30">
        <f>C34</f>
        <v>5.0999999999999996</v>
      </c>
      <c r="D5" s="36">
        <f>C73</f>
        <v>5.0999999999999996</v>
      </c>
      <c r="E5" s="35">
        <f t="shared" ref="E5:E6" si="0">C5*C$2+D5*D$2</f>
        <v>5.0999999999999996</v>
      </c>
    </row>
    <row r="6" spans="1:11" ht="17" x14ac:dyDescent="0.2">
      <c r="A6" s="3">
        <v>3</v>
      </c>
      <c r="B6" s="38" t="s">
        <v>65</v>
      </c>
      <c r="C6" s="30">
        <f>C47</f>
        <v>5.0999999999999996</v>
      </c>
      <c r="D6" s="36">
        <f>C86</f>
        <v>5.0999999999999996</v>
      </c>
      <c r="E6" s="35">
        <f t="shared" si="0"/>
        <v>5.0999999999999996</v>
      </c>
    </row>
    <row r="11" spans="1:11" ht="19" outlineLevel="1" x14ac:dyDescent="0.2">
      <c r="A11" s="39" t="s">
        <v>4</v>
      </c>
      <c r="B11" s="11" t="str">
        <f>B4</f>
        <v>Sebastian Muñoz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61</v>
      </c>
      <c r="D14" s="12" t="str">
        <f t="shared" si="1"/>
        <v/>
      </c>
      <c r="E14" s="12" t="str">
        <f>IF(D14="X",100*0.25,"")</f>
        <v/>
      </c>
      <c r="F14" s="12" t="str">
        <f t="shared" si="2"/>
        <v/>
      </c>
      <c r="G14" s="12" t="str">
        <f>IF(F14="X",60*0.25,"")</f>
        <v/>
      </c>
      <c r="H14" s="12" t="str">
        <f t="shared" si="3"/>
        <v>X</v>
      </c>
      <c r="I14" s="12">
        <f>IF(H14="X",30*0.25,"")</f>
        <v>7.5</v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9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9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74.5</v>
      </c>
      <c r="D20" s="13"/>
      <c r="E20" s="13">
        <f>SUM(E13:E19)</f>
        <v>55</v>
      </c>
      <c r="F20" s="13"/>
      <c r="G20" s="13">
        <f>SUM(G13:G19)</f>
        <v>12</v>
      </c>
      <c r="H20" s="13"/>
      <c r="I20" s="13">
        <f>SUM(I13:I19)</f>
        <v>7.5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5.0999999999999996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Roberto Zurita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61</v>
      </c>
      <c r="D27" s="12" t="str">
        <f t="shared" si="7"/>
        <v/>
      </c>
      <c r="E27" s="12" t="str">
        <f>IF(D27="X",100*0.25,"")</f>
        <v/>
      </c>
      <c r="F27" s="12" t="str">
        <f t="shared" si="8"/>
        <v/>
      </c>
      <c r="G27" s="12" t="str">
        <f>IF(F27="X",60*0.25,"")</f>
        <v/>
      </c>
      <c r="H27" s="12" t="str">
        <f t="shared" si="9"/>
        <v>X</v>
      </c>
      <c r="I27" s="12">
        <f>IF(H27="X",30*0.25,"")</f>
        <v>7.5</v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9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9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74.5</v>
      </c>
      <c r="D33" s="13"/>
      <c r="E33" s="13">
        <f>SUM(E26:E32)</f>
        <v>55</v>
      </c>
      <c r="F33" s="13"/>
      <c r="G33" s="13">
        <f>SUM(G26:G32)</f>
        <v>12</v>
      </c>
      <c r="H33" s="13"/>
      <c r="I33" s="13">
        <f>SUM(I26:I32)</f>
        <v>7.5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5.0999999999999996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 t="str">
        <f>B6</f>
        <v>Samuel Jimenez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61</v>
      </c>
      <c r="D40" s="12" t="str">
        <f t="shared" si="12"/>
        <v/>
      </c>
      <c r="E40" s="12" t="str">
        <f>IF(D40="X",100*0.25,"")</f>
        <v/>
      </c>
      <c r="F40" s="12" t="str">
        <f t="shared" si="13"/>
        <v/>
      </c>
      <c r="G40" s="12" t="str">
        <f>IF(F40="X",60*0.25,"")</f>
        <v/>
      </c>
      <c r="H40" s="12" t="str">
        <f t="shared" si="14"/>
        <v>X</v>
      </c>
      <c r="I40" s="12">
        <f>IF(H40="X",30*0.25,"")</f>
        <v>7.5</v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9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9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9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74.5</v>
      </c>
      <c r="D46" s="13"/>
      <c r="E46" s="13">
        <f>SUM(E39:E45)</f>
        <v>55</v>
      </c>
      <c r="F46" s="13"/>
      <c r="G46" s="13">
        <f>SUM(G39:G45)</f>
        <v>12</v>
      </c>
      <c r="H46" s="13"/>
      <c r="I46" s="13">
        <f>SUM(I39:I45)</f>
        <v>7.5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5.0999999999999996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Sebastian Muñoz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61</v>
      </c>
      <c r="D53" s="12" t="str">
        <f t="shared" si="17"/>
        <v/>
      </c>
      <c r="E53" s="12" t="str">
        <f>IF(D53="X",100*0.25,"")</f>
        <v/>
      </c>
      <c r="F53" s="12" t="str">
        <f t="shared" si="18"/>
        <v/>
      </c>
      <c r="G53" s="12" t="str">
        <f>IF(F53="X",60*0.25,"")</f>
        <v/>
      </c>
      <c r="H53" s="12" t="str">
        <f t="shared" si="19"/>
        <v>X</v>
      </c>
      <c r="I53" s="12">
        <f>IF(H53="X",30*0.25,"")</f>
        <v>7.5</v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9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9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74.5</v>
      </c>
      <c r="D59" s="13"/>
      <c r="E59" s="13">
        <f>SUM(E52:E58)</f>
        <v>55</v>
      </c>
      <c r="F59" s="13"/>
      <c r="G59" s="13">
        <f>SUM(G52:G58)</f>
        <v>12</v>
      </c>
      <c r="H59" s="13"/>
      <c r="I59" s="13">
        <f>SUM(I52:I58)</f>
        <v>7.5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5.0999999999999996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Roberto Zurita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61</v>
      </c>
      <c r="D66" s="12" t="str">
        <f t="shared" si="22"/>
        <v/>
      </c>
      <c r="E66" s="12" t="str">
        <f>IF(D66="X",100*0.25,"")</f>
        <v/>
      </c>
      <c r="F66" s="12" t="str">
        <f t="shared" si="23"/>
        <v/>
      </c>
      <c r="G66" s="12" t="str">
        <f>IF(F66="X",60*0.25,"")</f>
        <v/>
      </c>
      <c r="H66" s="12" t="str">
        <f t="shared" si="24"/>
        <v>X</v>
      </c>
      <c r="I66" s="12">
        <f>IF(H66="X",30*0.25,"")</f>
        <v>7.5</v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9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9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9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74.5</v>
      </c>
      <c r="D72" s="13"/>
      <c r="E72" s="13">
        <f>SUM(E65:E71)</f>
        <v>55</v>
      </c>
      <c r="F72" s="13"/>
      <c r="G72" s="13">
        <f>SUM(G65:G71)</f>
        <v>12</v>
      </c>
      <c r="H72" s="13"/>
      <c r="I72" s="13">
        <f>SUM(I65:I71)</f>
        <v>7.5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5.0999999999999996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 t="str">
        <f>B6</f>
        <v>Samuel Jimenez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61</v>
      </c>
      <c r="D79" s="12" t="str">
        <f t="shared" si="27"/>
        <v/>
      </c>
      <c r="E79" s="12" t="str">
        <f>IF(D79="X",100*0.25,"")</f>
        <v/>
      </c>
      <c r="F79" s="12" t="str">
        <f t="shared" si="28"/>
        <v/>
      </c>
      <c r="G79" s="12" t="str">
        <f>IF(F79="X",60*0.25,"")</f>
        <v/>
      </c>
      <c r="H79" s="12" t="str">
        <f t="shared" si="29"/>
        <v>X</v>
      </c>
      <c r="I79" s="12">
        <f>IF(H79="X",30*0.25,"")</f>
        <v>7.5</v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9</v>
      </c>
      <c r="D81" s="12" t="str">
        <f t="shared" si="27"/>
        <v/>
      </c>
      <c r="E81" s="12" t="str">
        <f>IF(D81="X",100*0.05,"")</f>
        <v/>
      </c>
      <c r="F81" s="12" t="str">
        <f t="shared" si="28"/>
        <v>X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9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9</v>
      </c>
      <c r="D84" s="12" t="str">
        <f>IF($C84=CL,"X","")</f>
        <v/>
      </c>
      <c r="E84" s="12" t="str">
        <f>IF(D84="X",100*0.1,"")</f>
        <v/>
      </c>
      <c r="F84" s="12" t="str">
        <f>IF($C84=L,"X","")</f>
        <v>X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74.5</v>
      </c>
      <c r="D85" s="13"/>
      <c r="E85" s="13">
        <f>SUM(E78:E84)</f>
        <v>55</v>
      </c>
      <c r="F85" s="13"/>
      <c r="G85" s="13">
        <f>SUM(G78:G84)</f>
        <v>12</v>
      </c>
      <c r="H85" s="13"/>
      <c r="I85" s="13">
        <f>SUM(I78:I84)</f>
        <v>7.5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5.0999999999999996</v>
      </c>
    </row>
    <row r="87" spans="1:11" ht="15.75" customHeight="1" x14ac:dyDescent="0.2"/>
    <row r="88" spans="1:11" ht="15.75" customHeight="1" x14ac:dyDescent="0.2">
      <c r="B88" t="s">
        <v>66</v>
      </c>
    </row>
    <row r="89" spans="1:11" ht="15.75" customHeight="1" x14ac:dyDescent="0.2">
      <c r="B89" t="s">
        <v>67</v>
      </c>
    </row>
    <row r="90" spans="1:11" ht="15.75" customHeight="1" x14ac:dyDescent="0.2">
      <c r="B90" t="s">
        <v>68</v>
      </c>
    </row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C65:C71 C78:C84 C52:C58 C26:C32 C39:C45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0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2025-12-10T01:27:36Z</dcterms:modified>
  <cp:category/>
  <cp:contentStatus/>
</cp:coreProperties>
</file>